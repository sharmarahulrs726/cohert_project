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AI use case\Inputs\"/>
    </mc:Choice>
  </mc:AlternateContent>
  <xr:revisionPtr revIDLastSave="0" documentId="13_ncr:1_{8058249C-C15D-4957-8312-AF523EDA524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art A- General Details" sheetId="2" r:id="rId1"/>
    <sheet name="Salary" sheetId="3" r:id="rId2"/>
    <sheet name="House Property" sheetId="4" r:id="rId3"/>
    <sheet name="Other Sources" sheetId="5" r:id="rId4"/>
    <sheet name="Deductions" sheetId="7" r:id="rId5"/>
    <sheet name="TDS and Bank details" sheetId="8" r:id="rId6"/>
    <sheet name="SCH TI" sheetId="9" r:id="rId7"/>
  </sheets>
  <externalReferences>
    <externalReference r:id="rId8"/>
  </externalReferences>
  <definedNames>
    <definedName name="Dropdown_RepCapacity">[1]DropDownValues!$W$3:$W$7</definedName>
    <definedName name="oldbacValue">[1]DropDownValues!$DA$3</definedName>
    <definedName name="PortugueseCode">[1]DropDownValues!$L$3:$L$5</definedName>
    <definedName name="ResiStatus">[1]DropDownValues!$K$3:$K$6</definedName>
    <definedName name="RngBacNo">[1]DropDownValues!$A$11:$A$13</definedName>
    <definedName name="RngBacYes">[1]DropDownValues!$A$6:$A$8</definedName>
    <definedName name="RngNone">[1]DropDownValues!$A$16</definedName>
    <definedName name="trasactionAct">[1]DropDownValues!$J$3:$J$5</definedName>
    <definedName name="YesNoCode">[1]DropDownValues!$M$3:$M$5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9" l="1"/>
  <c r="C7" i="9"/>
  <c r="C5" i="9"/>
</calcChain>
</file>

<file path=xl/sharedStrings.xml><?xml version="1.0" encoding="utf-8"?>
<sst xmlns="http://schemas.openxmlformats.org/spreadsheetml/2006/main" count="58" uniqueCount="56">
  <si>
    <t>PAN</t>
  </si>
  <si>
    <t>First Name</t>
  </si>
  <si>
    <t>Rahul</t>
  </si>
  <si>
    <t>Last Name</t>
  </si>
  <si>
    <t>Sharma</t>
  </si>
  <si>
    <t>ABCPE1234F</t>
  </si>
  <si>
    <t>Date of Birth</t>
  </si>
  <si>
    <t>Aadhaar Number</t>
  </si>
  <si>
    <t>1234 5678 9012</t>
  </si>
  <si>
    <t>Mobile Number</t>
  </si>
  <si>
    <t>Email Address</t>
  </si>
  <si>
    <t>rahul.sharma@dummymail.com</t>
  </si>
  <si>
    <t>Residential Status</t>
  </si>
  <si>
    <t>Resident</t>
  </si>
  <si>
    <t>Filing Status</t>
  </si>
  <si>
    <t>139(1) - On or before due date</t>
  </si>
  <si>
    <t>New Tax Regime?</t>
  </si>
  <si>
    <t>No (Opting out to show deductions)</t>
  </si>
  <si>
    <t>Name of Employer</t>
  </si>
  <si>
    <t>Tech Solutions Pvt Ltd</t>
  </si>
  <si>
    <t>Nature of Employer</t>
  </si>
  <si>
    <t>Others (Private Sector)</t>
  </si>
  <si>
    <t>Basic Salary</t>
  </si>
  <si>
    <t>House Rent Allowance (HRA)</t>
  </si>
  <si>
    <t>Bonus / Special Allowance</t>
  </si>
  <si>
    <t>Gross Salary (Total)</t>
  </si>
  <si>
    <t>Standard Deduction (u/s 16ia)</t>
  </si>
  <si>
    <t>Type of Property</t>
  </si>
  <si>
    <t>Let Out</t>
  </si>
  <si>
    <t>Annual Rent Received</t>
  </si>
  <si>
    <t>3,60,000 (30,000 per month)</t>
  </si>
  <si>
    <t>Municipal Taxes Paid</t>
  </si>
  <si>
    <t>Standard Deduction (30%)</t>
  </si>
  <si>
    <t>Interest on Housing Loan</t>
  </si>
  <si>
    <t>Net Income from HP</t>
  </si>
  <si>
    <t>Source</t>
  </si>
  <si>
    <t>Amount (₹)</t>
  </si>
  <si>
    <t>Interest from Savings Bank</t>
  </si>
  <si>
    <t>Interest from Fixed Deposits</t>
  </si>
  <si>
    <t>Dividend Income from Indian Cos</t>
  </si>
  <si>
    <t>Total Other Sources</t>
  </si>
  <si>
    <t>Section</t>
  </si>
  <si>
    <t>80C (PPF/LIC/ELSS)</t>
  </si>
  <si>
    <t>80D (Health Insurance)</t>
  </si>
  <si>
    <t>80TTA (Savings Interest)</t>
  </si>
  <si>
    <r>
      <t>Bank Account:</t>
    </r>
    <r>
      <rPr>
        <sz val="11"/>
        <color theme="1"/>
        <rFont val="Calibri"/>
        <family val="2"/>
        <scheme val="minor"/>
      </rPr>
      <t xml:space="preserve"> HDFC Bank | IFSC: </t>
    </r>
    <r>
      <rPr>
        <sz val="10"/>
        <color theme="1"/>
        <rFont val="Arial Unicode MS"/>
      </rPr>
      <t>HDFC0000123</t>
    </r>
    <r>
      <rPr>
        <sz val="11"/>
        <color theme="1"/>
        <rFont val="Calibri"/>
        <family val="2"/>
        <scheme val="minor"/>
      </rPr>
      <t xml:space="preserve"> | Account No: </t>
    </r>
    <r>
      <rPr>
        <sz val="10"/>
        <color theme="1"/>
        <rFont val="Arial Unicode MS"/>
      </rPr>
      <t>5010023456789</t>
    </r>
    <r>
      <rPr>
        <sz val="11"/>
        <color theme="1"/>
        <rFont val="Calibri"/>
        <family val="2"/>
        <scheme val="minor"/>
      </rPr>
      <t xml:space="preserve"> | (Marked for Refund: Yes)</t>
    </r>
  </si>
  <si>
    <t>Row No.</t>
  </si>
  <si>
    <t>Head of Income / Description</t>
  </si>
  <si>
    <t>Salaries (Net of Standard Deduction)</t>
  </si>
  <si>
    <t>Income from House Property</t>
  </si>
  <si>
    <t>Income from Other Sources</t>
  </si>
  <si>
    <t>Gross Total Income (Sum of 1 to 4)</t>
  </si>
  <si>
    <t>Deductions under Chapter VI-A</t>
  </si>
  <si>
    <t>Total Income (5 - 6)</t>
  </si>
  <si>
    <t>Net Taxable Income (Rounded off)</t>
  </si>
  <si>
    <r>
      <t>TDS 1:</t>
    </r>
    <r>
      <rPr>
        <sz val="11"/>
        <color theme="1"/>
        <rFont val="Calibri"/>
        <family val="2"/>
        <scheme val="minor"/>
      </rPr>
      <t xml:space="preserve"> TAN: </t>
    </r>
    <r>
      <rPr>
        <sz val="10"/>
        <color theme="1"/>
        <rFont val="Arial Unicode MS"/>
      </rPr>
      <t>MUMT12345A</t>
    </r>
    <r>
      <rPr>
        <sz val="11"/>
        <color theme="1"/>
        <rFont val="Calibri"/>
        <family val="2"/>
        <scheme val="minor"/>
      </rPr>
      <t xml:space="preserve"> | Tax Deducted: 95,</t>
    </r>
    <r>
      <rPr>
        <sz val="10"/>
        <color theme="1"/>
        <rFont val="Arial Unicode MS"/>
      </rPr>
      <t>000</t>
    </r>
    <r>
      <rPr>
        <sz val="11"/>
        <color theme="1"/>
        <rFont val="Calibri"/>
        <family val="2"/>
        <scheme val="minor"/>
      </rPr>
      <t xml:space="preserve"> (from Salary)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</si>
</sst>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</cellXfs>
  <cellStyles count="2">
    <cellStyle name="Normal" xfId="0" builtinId="0"/>
    <cellStyle name="Normal 2 2" xfId="1" xr:uid="{77059920-256B-463A-AF83-BB87164CA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ITR2_AY_24-25_V1.14.xl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N List"/>
      <sheetName val="Home"/>
      <sheetName val="PART A - General"/>
      <sheetName val="Nature Of Business"/>
      <sheetName val="Part A - BS"/>
      <sheetName val="Manufacturing Account"/>
      <sheetName val="Trading Account"/>
      <sheetName val="Profit and Loss"/>
      <sheetName val="Part A - OI"/>
      <sheetName val="Quantitative Details"/>
      <sheetName val="Sheet1"/>
      <sheetName val="ITold"/>
      <sheetName val="Part A Gen_139(8A)"/>
      <sheetName val="Schedule S"/>
      <sheetName val="House Property"/>
      <sheetName val="BP"/>
      <sheetName val="DPM - DOA"/>
      <sheetName val="DEP_DCG"/>
      <sheetName val="ESR"/>
      <sheetName val="CG"/>
      <sheetName val="Schedule 112A"/>
      <sheetName val="HelpCSV"/>
      <sheetName val="Schedule 115AD(1)(iii) proviso"/>
      <sheetName val="VDA"/>
      <sheetName val="OS"/>
      <sheetName val="CYLA - BFLA"/>
      <sheetName val="CFL"/>
      <sheetName val="Unabsorbed Depreciation"/>
      <sheetName val="ICDS"/>
      <sheetName val="10AA"/>
      <sheetName val="80G"/>
      <sheetName val="80D"/>
      <sheetName val="RA"/>
      <sheetName val="80GGA"/>
      <sheetName val="80"/>
      <sheetName val="VI-A"/>
      <sheetName val="80U-80DD"/>
      <sheetName val="80GGC"/>
      <sheetName val="SPI - SI"/>
      <sheetName val="AMT"/>
      <sheetName val="AMTC"/>
      <sheetName val="EI"/>
      <sheetName val="FSI1"/>
      <sheetName val="PTI"/>
      <sheetName val="TPSA"/>
      <sheetName val="FSI"/>
      <sheetName val="TR_FA"/>
      <sheetName val="Sch 5A"/>
      <sheetName val="AL"/>
      <sheetName val="GST"/>
      <sheetName val="Tax Calculated"/>
      <sheetName val="Part B - TI TTI"/>
      <sheetName val="IT"/>
      <sheetName val="ESOP"/>
      <sheetName val="TDS"/>
      <sheetName val="Part B ATI"/>
      <sheetName val="Verification"/>
      <sheetName val="OLDAL"/>
      <sheetName val="Temporary Values"/>
      <sheetName val="DropDownValues"/>
      <sheetName val="SUMMARY"/>
      <sheetName val="BA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3">
          <cell r="J3" t="str">
            <v>(Select)</v>
          </cell>
          <cell r="K3" t="str">
            <v>(Select)</v>
          </cell>
          <cell r="L3" t="str">
            <v>(Select)</v>
          </cell>
          <cell r="M3" t="str">
            <v>(Select)</v>
          </cell>
          <cell r="W3" t="str">
            <v>(Select)</v>
          </cell>
          <cell r="DA3">
            <v>2</v>
          </cell>
        </row>
        <row r="4">
          <cell r="J4" t="str">
            <v>Yes</v>
          </cell>
          <cell r="K4" t="str">
            <v>RES - Resident</v>
          </cell>
          <cell r="L4" t="str">
            <v>Yes</v>
          </cell>
          <cell r="M4" t="str">
            <v>Y - Yes</v>
          </cell>
          <cell r="W4" t="str">
            <v>Legal Heir</v>
          </cell>
        </row>
        <row r="5">
          <cell r="J5" t="str">
            <v>No</v>
          </cell>
          <cell r="K5" t="str">
            <v>NRI - Non Resident</v>
          </cell>
          <cell r="L5" t="str">
            <v>No</v>
          </cell>
          <cell r="M5" t="str">
            <v>N -No</v>
          </cell>
          <cell r="W5" t="str">
            <v>Manager</v>
          </cell>
        </row>
        <row r="6">
          <cell r="A6" t="str">
            <v>(Select)</v>
          </cell>
          <cell r="K6" t="str">
            <v>NOR - Resident but not Ordinarily Resident</v>
          </cell>
          <cell r="W6" t="str">
            <v>Guardian</v>
          </cell>
        </row>
        <row r="7">
          <cell r="A7" t="str">
            <v>Continue to opt</v>
          </cell>
          <cell r="W7" t="str">
            <v>Other</v>
          </cell>
        </row>
        <row r="8">
          <cell r="A8" t="str">
            <v>Opt out</v>
          </cell>
        </row>
        <row r="11">
          <cell r="A11" t="str">
            <v>(Select)</v>
          </cell>
        </row>
        <row r="12">
          <cell r="A12" t="str">
            <v>Opting in now</v>
          </cell>
        </row>
        <row r="13">
          <cell r="A13" t="str">
            <v>Not opting</v>
          </cell>
        </row>
        <row r="16">
          <cell r="A16" t="str">
            <v>(Select)</v>
          </cell>
        </row>
      </sheetData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D2B8-0272-47A1-A0D8-D32601EAF823}">
  <dimension ref="A1:B10"/>
  <sheetViews>
    <sheetView workbookViewId="0">
      <selection activeCell="F16" sqref="F16"/>
    </sheetView>
  </sheetViews>
  <sheetFormatPr defaultRowHeight="15"/>
  <cols>
    <col min="1" max="1" width="8.7109375" bestFit="1" customWidth="1"/>
    <col min="2" max="2" width="30.85546875" bestFit="1" customWidth="1"/>
  </cols>
  <sheetData>
    <row r="1" spans="1:2" ht="27" thickBot="1">
      <c r="A1" s="2" t="s">
        <v>1</v>
      </c>
      <c r="B1" s="2" t="s">
        <v>2</v>
      </c>
    </row>
    <row r="2" spans="1:2" ht="27" thickBot="1">
      <c r="A2" s="2" t="s">
        <v>3</v>
      </c>
      <c r="B2" s="2" t="s">
        <v>4</v>
      </c>
    </row>
    <row r="3" spans="1:2" ht="15.75" thickBot="1">
      <c r="A3" s="2" t="s">
        <v>0</v>
      </c>
      <c r="B3" s="2" t="s">
        <v>5</v>
      </c>
    </row>
    <row r="4" spans="1:2" ht="27" thickBot="1">
      <c r="A4" s="2" t="s">
        <v>6</v>
      </c>
      <c r="B4" s="3">
        <v>31182</v>
      </c>
    </row>
    <row r="5" spans="1:2" ht="27" thickBot="1">
      <c r="A5" s="2" t="s">
        <v>7</v>
      </c>
      <c r="B5" s="2" t="s">
        <v>8</v>
      </c>
    </row>
    <row r="6" spans="1:2" ht="27" thickBot="1">
      <c r="A6" s="2" t="s">
        <v>9</v>
      </c>
      <c r="B6" s="4">
        <v>9876543210</v>
      </c>
    </row>
    <row r="7" spans="1:2" ht="27" thickBot="1">
      <c r="A7" s="2" t="s">
        <v>10</v>
      </c>
      <c r="B7" s="5" t="s">
        <v>11</v>
      </c>
    </row>
    <row r="8" spans="1:2" ht="27" thickBot="1">
      <c r="A8" s="2" t="s">
        <v>12</v>
      </c>
      <c r="B8" s="2" t="s">
        <v>13</v>
      </c>
    </row>
    <row r="9" spans="1:2" ht="27" thickBot="1">
      <c r="A9" s="2" t="s">
        <v>14</v>
      </c>
      <c r="B9" s="5" t="s">
        <v>15</v>
      </c>
    </row>
    <row r="10" spans="1:2" ht="27" thickBot="1">
      <c r="A10" s="2" t="s">
        <v>16</v>
      </c>
      <c r="B10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F873-0620-44E2-A2FF-4890F6E81788}">
  <dimension ref="A1:B7"/>
  <sheetViews>
    <sheetView workbookViewId="0">
      <selection activeCell="B13" sqref="B13"/>
    </sheetView>
  </sheetViews>
  <sheetFormatPr defaultRowHeight="15"/>
  <cols>
    <col min="1" max="1" width="8.85546875" bestFit="1" customWidth="1"/>
    <col min="2" max="2" width="20.140625" bestFit="1" customWidth="1"/>
  </cols>
  <sheetData>
    <row r="1" spans="1:2" ht="27" thickBot="1">
      <c r="A1" s="2" t="s">
        <v>18</v>
      </c>
      <c r="B1" s="5" t="s">
        <v>19</v>
      </c>
    </row>
    <row r="2" spans="1:2" ht="27" thickBot="1">
      <c r="A2" s="2" t="s">
        <v>20</v>
      </c>
      <c r="B2" s="5" t="s">
        <v>21</v>
      </c>
    </row>
    <row r="3" spans="1:2" ht="27" thickBot="1">
      <c r="A3" s="2" t="s">
        <v>22</v>
      </c>
      <c r="B3" s="6">
        <v>800000</v>
      </c>
    </row>
    <row r="4" spans="1:2" ht="52.5" thickBot="1">
      <c r="A4" s="2" t="s">
        <v>23</v>
      </c>
      <c r="B4" s="6">
        <v>200000</v>
      </c>
    </row>
    <row r="5" spans="1:2" ht="52.5" thickBot="1">
      <c r="A5" s="2" t="s">
        <v>24</v>
      </c>
      <c r="B5" s="6">
        <v>0</v>
      </c>
    </row>
    <row r="6" spans="1:2" ht="39.75" thickBot="1">
      <c r="A6" s="2" t="s">
        <v>25</v>
      </c>
      <c r="B6" s="6">
        <v>1000000</v>
      </c>
    </row>
    <row r="7" spans="1:2" ht="52.5" thickBot="1">
      <c r="A7" s="2" t="s">
        <v>26</v>
      </c>
      <c r="B7" s="7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6301-FCD0-4DBF-ADD7-A864EE1C7F93}">
  <dimension ref="A1:B6"/>
  <sheetViews>
    <sheetView workbookViewId="0">
      <selection activeCell="F25" sqref="F25"/>
    </sheetView>
  </sheetViews>
  <sheetFormatPr defaultRowHeight="15"/>
  <cols>
    <col min="1" max="1" width="8.85546875" bestFit="1" customWidth="1"/>
    <col min="2" max="2" width="24.7109375" bestFit="1" customWidth="1"/>
  </cols>
  <sheetData>
    <row r="1" spans="1:2" ht="27" thickBot="1">
      <c r="A1" s="2" t="s">
        <v>27</v>
      </c>
      <c r="B1" s="2" t="s">
        <v>28</v>
      </c>
    </row>
    <row r="2" spans="1:2" ht="39.75" thickBot="1">
      <c r="A2" s="2" t="s">
        <v>29</v>
      </c>
      <c r="B2" s="5" t="s">
        <v>30</v>
      </c>
    </row>
    <row r="3" spans="1:2" ht="39.75" thickBot="1">
      <c r="A3" s="2" t="s">
        <v>31</v>
      </c>
      <c r="B3" s="7">
        <v>10000</v>
      </c>
    </row>
    <row r="4" spans="1:2" ht="39.75" thickBot="1">
      <c r="A4" s="2" t="s">
        <v>32</v>
      </c>
      <c r="B4" s="6">
        <v>105000</v>
      </c>
    </row>
    <row r="5" spans="1:2" ht="52.5" thickBot="1">
      <c r="A5" s="2" t="s">
        <v>33</v>
      </c>
      <c r="B5" s="6">
        <v>150000</v>
      </c>
    </row>
    <row r="6" spans="1:2" ht="39.75" thickBot="1">
      <c r="A6" s="2" t="s">
        <v>34</v>
      </c>
      <c r="B6" s="7">
        <v>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3D1A-1704-4919-9A49-59F4E870C2E0}">
  <dimension ref="A1:B5"/>
  <sheetViews>
    <sheetView workbookViewId="0">
      <selection activeCell="L20" sqref="L20"/>
    </sheetView>
  </sheetViews>
  <sheetFormatPr defaultRowHeight="15"/>
  <cols>
    <col min="1" max="1" width="8.28515625" bestFit="1" customWidth="1"/>
    <col min="2" max="2" width="7.42578125" bestFit="1" customWidth="1"/>
  </cols>
  <sheetData>
    <row r="1" spans="1:2" ht="27" thickBot="1">
      <c r="A1" s="2" t="s">
        <v>35</v>
      </c>
      <c r="B1" s="2" t="s">
        <v>36</v>
      </c>
    </row>
    <row r="2" spans="1:2" ht="52.5" thickBot="1">
      <c r="A2" s="2" t="s">
        <v>37</v>
      </c>
      <c r="B2" s="7">
        <v>12000</v>
      </c>
    </row>
    <row r="3" spans="1:2" ht="52.5" thickBot="1">
      <c r="A3" s="2" t="s">
        <v>38</v>
      </c>
      <c r="B3" s="7">
        <v>45000</v>
      </c>
    </row>
    <row r="4" spans="1:2" ht="65.25" thickBot="1">
      <c r="A4" s="2" t="s">
        <v>39</v>
      </c>
      <c r="B4" s="7">
        <v>15000</v>
      </c>
    </row>
    <row r="5" spans="1:2" ht="39.75" thickBot="1">
      <c r="A5" s="2" t="s">
        <v>40</v>
      </c>
      <c r="B5" s="7">
        <v>72000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00AA-4F53-4B32-BA8D-1570647AA3A1}">
  <dimension ref="A1:B4"/>
  <sheetViews>
    <sheetView workbookViewId="0">
      <selection activeCell="H13" sqref="H13:H14"/>
    </sheetView>
  </sheetViews>
  <sheetFormatPr defaultRowHeight="15"/>
  <cols>
    <col min="2" max="2" width="8.140625" bestFit="1" customWidth="1"/>
  </cols>
  <sheetData>
    <row r="1" spans="1:2" ht="27" thickBot="1">
      <c r="A1" s="2" t="s">
        <v>41</v>
      </c>
      <c r="B1" s="2" t="s">
        <v>36</v>
      </c>
    </row>
    <row r="2" spans="1:2" ht="39.75" thickBot="1">
      <c r="A2" s="2" t="s">
        <v>42</v>
      </c>
      <c r="B2" s="6">
        <v>150000</v>
      </c>
    </row>
    <row r="3" spans="1:2" ht="52.5" thickBot="1">
      <c r="A3" s="2" t="s">
        <v>43</v>
      </c>
      <c r="B3" s="7">
        <v>25000</v>
      </c>
    </row>
    <row r="4" spans="1:2" ht="39.75" thickBot="1">
      <c r="A4" s="2" t="s">
        <v>44</v>
      </c>
      <c r="B4" s="7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BFC3-A14F-4675-8F44-972D15608A9B}">
  <dimension ref="A1:A3"/>
  <sheetViews>
    <sheetView workbookViewId="0">
      <selection activeCell="J7" sqref="J7"/>
    </sheetView>
  </sheetViews>
  <sheetFormatPr defaultRowHeight="15"/>
  <sheetData>
    <row r="1" spans="1:1">
      <c r="A1" s="1" t="s">
        <v>55</v>
      </c>
    </row>
    <row r="3" spans="1:1">
      <c r="A3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839A-64FA-4DE9-BC2B-FB1B0752077C}">
  <dimension ref="A1:C8"/>
  <sheetViews>
    <sheetView tabSelected="1" workbookViewId="0">
      <selection activeCell="J3" sqref="J3"/>
    </sheetView>
  </sheetViews>
  <sheetFormatPr defaultRowHeight="15"/>
  <cols>
    <col min="1" max="1" width="8" bestFit="1" customWidth="1"/>
  </cols>
  <sheetData>
    <row r="1" spans="1:3" ht="52.5" thickBot="1">
      <c r="A1" s="2" t="s">
        <v>46</v>
      </c>
      <c r="B1" s="2" t="s">
        <v>47</v>
      </c>
      <c r="C1" s="2" t="s">
        <v>36</v>
      </c>
    </row>
    <row r="2" spans="1:3" ht="65.25" thickBot="1">
      <c r="A2" s="4">
        <v>1</v>
      </c>
      <c r="B2" s="2" t="s">
        <v>48</v>
      </c>
      <c r="C2" s="6">
        <v>950000</v>
      </c>
    </row>
    <row r="3" spans="1:3" ht="52.5" thickBot="1">
      <c r="A3" s="4">
        <v>2</v>
      </c>
      <c r="B3" s="2" t="s">
        <v>49</v>
      </c>
      <c r="C3" s="6">
        <v>95000</v>
      </c>
    </row>
    <row r="4" spans="1:3" ht="52.5" thickBot="1">
      <c r="A4" s="4">
        <v>4</v>
      </c>
      <c r="B4" s="2" t="s">
        <v>50</v>
      </c>
      <c r="C4" s="7">
        <v>65500</v>
      </c>
    </row>
    <row r="5" spans="1:3" ht="65.25" thickBot="1">
      <c r="A5" s="4">
        <v>5</v>
      </c>
      <c r="B5" s="2" t="s">
        <v>51</v>
      </c>
      <c r="C5" s="6">
        <f>C2+C3+C4</f>
        <v>1110500</v>
      </c>
    </row>
    <row r="6" spans="1:3" ht="52.5" thickBot="1">
      <c r="A6" s="4">
        <v>6</v>
      </c>
      <c r="B6" s="2" t="s">
        <v>52</v>
      </c>
      <c r="C6" s="6">
        <v>-185000</v>
      </c>
    </row>
    <row r="7" spans="1:3" ht="39.75" thickBot="1">
      <c r="A7" s="4">
        <v>7</v>
      </c>
      <c r="B7" s="2" t="s">
        <v>53</v>
      </c>
      <c r="C7" s="6">
        <f>C5+C6</f>
        <v>925500</v>
      </c>
    </row>
    <row r="8" spans="1:3" ht="65.25" thickBot="1">
      <c r="A8" s="4">
        <v>8</v>
      </c>
      <c r="B8" s="2" t="s">
        <v>54</v>
      </c>
      <c r="C8" s="6">
        <f>C7</f>
        <v>925500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 A- General Details</vt:lpstr>
      <vt:lpstr>Salary</vt:lpstr>
      <vt:lpstr>House Property</vt:lpstr>
      <vt:lpstr>Other Sources</vt:lpstr>
      <vt:lpstr>Deductions</vt:lpstr>
      <vt:lpstr>TDS and Bank details</vt:lpstr>
      <vt:lpstr>SCH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2026-04-13T04:19:28Z</dcterms:modified>
</cp:coreProperties>
</file>
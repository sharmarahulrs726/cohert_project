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AI use case\Inputs\"/>
    </mc:Choice>
  </mc:AlternateContent>
  <xr:revisionPtr revIDLastSave="0" documentId="13_ncr:1_{B359DAA9-6EF2-44FA-BBF8-6FD8ED19AE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D21" i="1"/>
  <c r="D20" i="1"/>
  <c r="D16" i="1"/>
  <c r="E6" i="1"/>
  <c r="D6" i="1"/>
</calcChain>
</file>

<file path=xl/sharedStrings.xml><?xml version="1.0" encoding="utf-8"?>
<sst xmlns="http://schemas.openxmlformats.org/spreadsheetml/2006/main" count="37" uniqueCount="35">
  <si>
    <t>Quarter</t>
  </si>
  <si>
    <t>Receipt Number</t>
  </si>
  <si>
    <t>Amount Paid/Credited (₹)</t>
  </si>
  <si>
    <t>Tax Deducted (₹)</t>
  </si>
  <si>
    <t>Tax Deposited (₹)</t>
  </si>
  <si>
    <t>Q1</t>
  </si>
  <si>
    <t>Q2</t>
  </si>
  <si>
    <t>Q3</t>
  </si>
  <si>
    <t>Q4</t>
  </si>
  <si>
    <t>Total</t>
  </si>
  <si>
    <t>Section</t>
  </si>
  <si>
    <t>Particulars</t>
  </si>
  <si>
    <t>Amount (₹)</t>
  </si>
  <si>
    <t>A</t>
  </si>
  <si>
    <t>Whether opting out of taxation u/s 115BAC(1A)?</t>
  </si>
  <si>
    <t>Yes</t>
  </si>
  <si>
    <t>Gross Salary</t>
  </si>
  <si>
    <t>(a)</t>
  </si>
  <si>
    <t xml:space="preserve">Salary as per provisions contained in section 17(1) </t>
  </si>
  <si>
    <t>(d)</t>
  </si>
  <si>
    <t xml:space="preserve">Total Gross Salary </t>
  </si>
  <si>
    <t>Less: Allowances to the extent exempt under section 10</t>
  </si>
  <si>
    <t>(e)</t>
  </si>
  <si>
    <t>House rent allowance under section 10(13A) +1</t>
  </si>
  <si>
    <t>(i)</t>
  </si>
  <si>
    <t>Total amount of exemption claimed under section 10 +1</t>
  </si>
  <si>
    <t>Total amount of salary received from current employer +1</t>
  </si>
  <si>
    <t>Less: Deductions under section 16</t>
  </si>
  <si>
    <t>Standard deduction u/s 16(ia) +1</t>
  </si>
  <si>
    <t>(c)</t>
  </si>
  <si>
    <t>Tax on employment (Professional Tax) u/s 16(iii) +1</t>
  </si>
  <si>
    <t>Total amount of deductions under section 16 +1</t>
  </si>
  <si>
    <t>Income chargeable under the head "Salaries" +1</t>
  </si>
  <si>
    <t>Total amount of other income reported (Savings Interest) +1</t>
  </si>
  <si>
    <t>Gross Total Income (6+8)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</si>
</sst>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F85BA9C-5467-40E2-9A68-C94414E8E4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I26" sqref="I26"/>
    </sheetView>
  </sheetViews>
  <sheetFormatPr defaultRowHeight="15" x14ac:dyDescent="0.25"/>
  <cols>
    <col min="1" max="1" width="7.28515625" bestFit="1" customWidth="1"/>
    <col min="2" max="2" width="51.28515625" bestFit="1" customWidth="1"/>
    <col min="4" max="4" width="8.85546875" bestFit="1" customWidth="1"/>
  </cols>
  <sheetData>
    <row r="1" spans="1:5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thickBot="1" x14ac:dyDescent="0.3">
      <c r="A2" s="1" t="s">
        <v>5</v>
      </c>
      <c r="B2" s="3">
        <v>1234567</v>
      </c>
      <c r="C2" s="4">
        <v>250000</v>
      </c>
      <c r="D2" s="5">
        <v>23750</v>
      </c>
      <c r="E2" s="5">
        <v>23750</v>
      </c>
    </row>
    <row r="3" spans="1:5" ht="15.75" thickBot="1" x14ac:dyDescent="0.3">
      <c r="A3" s="1" t="s">
        <v>6</v>
      </c>
      <c r="B3" s="3">
        <v>1235567</v>
      </c>
      <c r="C3" s="4">
        <v>250000</v>
      </c>
      <c r="D3" s="5">
        <v>23750</v>
      </c>
      <c r="E3" s="5">
        <v>23750</v>
      </c>
    </row>
    <row r="4" spans="1:5" ht="15.75" thickBot="1" x14ac:dyDescent="0.3">
      <c r="A4" s="1" t="s">
        <v>7</v>
      </c>
      <c r="B4" s="3">
        <v>1244567</v>
      </c>
      <c r="C4" s="4">
        <v>250000</v>
      </c>
      <c r="D4" s="5">
        <v>23750</v>
      </c>
      <c r="E4" s="5">
        <v>23750</v>
      </c>
    </row>
    <row r="5" spans="1:5" ht="15.75" thickBot="1" x14ac:dyDescent="0.3">
      <c r="A5" s="1" t="s">
        <v>8</v>
      </c>
      <c r="B5" s="3">
        <v>1734567</v>
      </c>
      <c r="C5" s="4">
        <v>250000</v>
      </c>
      <c r="D5" s="5">
        <v>23750</v>
      </c>
      <c r="E5" s="5">
        <v>23750</v>
      </c>
    </row>
    <row r="6" spans="1:5" ht="15.75" thickBot="1" x14ac:dyDescent="0.3">
      <c r="A6" s="1" t="s">
        <v>9</v>
      </c>
      <c r="B6" s="1"/>
      <c r="C6" s="4">
        <v>1000000</v>
      </c>
      <c r="D6" s="5">
        <f>D2+D3+D4+D5</f>
        <v>95000</v>
      </c>
      <c r="E6" s="5">
        <f>E2+E3+E4+E5</f>
        <v>95000</v>
      </c>
    </row>
    <row r="7" spans="1:5" ht="15.75" thickBot="1" x14ac:dyDescent="0.3"/>
    <row r="8" spans="1:5" ht="27" thickBot="1" x14ac:dyDescent="0.3">
      <c r="A8" s="1" t="s">
        <v>10</v>
      </c>
      <c r="B8" s="1" t="s">
        <v>11</v>
      </c>
      <c r="C8" s="1" t="s">
        <v>12</v>
      </c>
      <c r="D8" s="1" t="s">
        <v>12</v>
      </c>
    </row>
    <row r="9" spans="1:5" ht="15.75" thickBot="1" x14ac:dyDescent="0.3">
      <c r="A9" s="1" t="s">
        <v>13</v>
      </c>
      <c r="B9" s="1" t="s">
        <v>14</v>
      </c>
      <c r="C9" s="1" t="s">
        <v>15</v>
      </c>
      <c r="D9" s="1"/>
    </row>
    <row r="10" spans="1:5" ht="15.75" thickBot="1" x14ac:dyDescent="0.3">
      <c r="A10" s="3">
        <v>1</v>
      </c>
      <c r="B10" s="1" t="s">
        <v>16</v>
      </c>
      <c r="C10" s="1"/>
      <c r="D10" s="1"/>
    </row>
    <row r="11" spans="1:5" ht="15.75" thickBot="1" x14ac:dyDescent="0.3">
      <c r="A11" s="1" t="s">
        <v>17</v>
      </c>
      <c r="B11" s="1" t="s">
        <v>18</v>
      </c>
      <c r="C11" s="4">
        <v>1000000</v>
      </c>
      <c r="D11" s="1"/>
    </row>
    <row r="12" spans="1:5" ht="15.75" thickBot="1" x14ac:dyDescent="0.3">
      <c r="A12" s="1" t="s">
        <v>19</v>
      </c>
      <c r="B12" s="2" t="s">
        <v>20</v>
      </c>
      <c r="C12" s="1"/>
      <c r="D12" s="4">
        <v>1000000</v>
      </c>
    </row>
    <row r="13" spans="1:5" ht="15.75" thickBot="1" x14ac:dyDescent="0.3">
      <c r="A13" s="3">
        <v>2</v>
      </c>
      <c r="B13" s="2" t="s">
        <v>21</v>
      </c>
      <c r="C13" s="1"/>
      <c r="D13" s="1"/>
    </row>
    <row r="14" spans="1:5" ht="15.75" thickBot="1" x14ac:dyDescent="0.3">
      <c r="A14" s="1" t="s">
        <v>22</v>
      </c>
      <c r="B14" s="1" t="s">
        <v>23</v>
      </c>
      <c r="C14" s="4">
        <v>150000</v>
      </c>
      <c r="D14" s="1"/>
    </row>
    <row r="15" spans="1:5" ht="15.75" thickBot="1" x14ac:dyDescent="0.3">
      <c r="A15" s="1" t="s">
        <v>24</v>
      </c>
      <c r="B15" s="2" t="s">
        <v>25</v>
      </c>
      <c r="C15" s="1"/>
      <c r="D15" s="4">
        <v>-150000</v>
      </c>
    </row>
    <row r="16" spans="1:5" ht="15.75" thickBot="1" x14ac:dyDescent="0.3">
      <c r="A16" s="3">
        <v>3</v>
      </c>
      <c r="B16" s="2" t="s">
        <v>26</v>
      </c>
      <c r="C16" s="1"/>
      <c r="D16" s="4">
        <f>D12+D15</f>
        <v>850000</v>
      </c>
    </row>
    <row r="17" spans="1:4" ht="15.75" thickBot="1" x14ac:dyDescent="0.3">
      <c r="A17" s="3">
        <v>4</v>
      </c>
      <c r="B17" s="2" t="s">
        <v>27</v>
      </c>
      <c r="C17" s="1"/>
      <c r="D17" s="1"/>
    </row>
    <row r="18" spans="1:4" ht="15.75" thickBot="1" x14ac:dyDescent="0.3">
      <c r="A18" s="1" t="s">
        <v>17</v>
      </c>
      <c r="B18" s="1" t="s">
        <v>28</v>
      </c>
      <c r="C18" s="5">
        <v>50000</v>
      </c>
      <c r="D18" s="1"/>
    </row>
    <row r="19" spans="1:4" ht="15.75" thickBot="1" x14ac:dyDescent="0.3">
      <c r="A19" s="1" t="s">
        <v>29</v>
      </c>
      <c r="B19" s="1" t="s">
        <v>30</v>
      </c>
      <c r="C19" s="5"/>
      <c r="D19" s="1"/>
    </row>
    <row r="20" spans="1:4" ht="15.75" thickBot="1" x14ac:dyDescent="0.3">
      <c r="A20" s="3">
        <v>5</v>
      </c>
      <c r="B20" s="2" t="s">
        <v>31</v>
      </c>
      <c r="C20" s="1"/>
      <c r="D20" s="5">
        <f>C18*-1</f>
        <v>-50000</v>
      </c>
    </row>
    <row r="21" spans="1:4" ht="15.75" thickBot="1" x14ac:dyDescent="0.3">
      <c r="A21" s="3">
        <v>6</v>
      </c>
      <c r="B21" s="2" t="s">
        <v>32</v>
      </c>
      <c r="C21" s="1"/>
      <c r="D21" s="4">
        <f>D16+D20</f>
        <v>800000</v>
      </c>
    </row>
    <row r="22" spans="1:4" ht="15.75" thickBot="1" x14ac:dyDescent="0.3">
      <c r="A22" s="3">
        <v>8</v>
      </c>
      <c r="B22" s="2" t="s">
        <v>33</v>
      </c>
      <c r="C22" s="1"/>
      <c r="D22" s="5">
        <v>12000</v>
      </c>
    </row>
    <row r="23" spans="1:4" ht="15.75" thickBot="1" x14ac:dyDescent="0.3">
      <c r="A23" s="3">
        <v>9</v>
      </c>
      <c r="B23" s="2" t="s">
        <v>34</v>
      </c>
      <c r="C23" s="1"/>
      <c r="D23" s="4">
        <f>D21+D22</f>
        <v>812000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2026-04-14T10:43:57Z</dcterms:modified>
</cp:coreProperties>
</file>